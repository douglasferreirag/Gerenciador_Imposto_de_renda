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360" windowHeight="7620"/>
  </bookViews>
  <sheets>
    <sheet name="Inicio" sheetId="1" r:id="rId1"/>
    <sheet name="Tabelas_Apoio" sheetId="2" state="hidden" r:id="rId2"/>
    <sheet name="Lancamentos" sheetId="3" r:id="rId3"/>
    <sheet name="Dashboard" sheetId="4" r:id="rId4"/>
  </sheets>
  <definedNames>
    <definedName name="_xlnm._FilterDatabase" localSheetId="1" hidden="1">Tabelas_Apoio!$A$4:$F$13</definedName>
    <definedName name="_xlnm._FilterDatabase" localSheetId="2" hidden="1">Lancamentos!$A$4:$E$8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<sst xmlns="http://schemas.openxmlformats.org/spreadsheetml/2006/main" count="90" uniqueCount="74">
  <si>
    <t>GERENCIADOR
DE IMPOSTO DE RENDA</t>
  </si>
  <si>
    <t>Painel financeiro para organização, conferência e estimativa fiscal</t>
  </si>
  <si>
    <t>📊  DASHBOARD
Visão executiva e indicadores</t>
  </si>
  <si>
    <t>＋  LANÇAMENTOS
Cadastre e revise movimentações</t>
  </si>
  <si>
    <t>⚙  TABELAS DE APOIO
Categorias e parâmetros</t>
  </si>
  <si>
    <t>✓  FLUXO RECOMENDADO
1. Lance dados
2. Revise categorias
3. Consulte o dashboard</t>
  </si>
  <si>
    <t>Projeto demonstrativo de Excel aplicado à organização financeira.</t>
  </si>
  <si>
    <t>TABELAS DE APOIO</t>
  </si>
  <si>
    <t>Parâmetros utilizados pelas validações e pelo cálculo automático.</t>
  </si>
  <si>
    <t>Categoria</t>
  </si>
  <si>
    <t>Tipo</t>
  </si>
  <si>
    <t>Base Mínima</t>
  </si>
  <si>
    <t>Base Máxima</t>
  </si>
  <si>
    <t>Alíquota</t>
  </si>
  <si>
    <t>Parcela a Deduzir</t>
  </si>
  <si>
    <t>Rendimento de Trabalho Assalariado</t>
  </si>
  <si>
    <t>Tributável</t>
  </si>
  <si>
    <t>Aposentadorias e Pensões</t>
  </si>
  <si>
    <t>Aluguéis Recebidos</t>
  </si>
  <si>
    <t>Rendimentos de Poupança / LCI / LCA</t>
  </si>
  <si>
    <t>Isento</t>
  </si>
  <si>
    <t>Dividendos e Lucros</t>
  </si>
  <si>
    <t>Instrução / Educação</t>
  </si>
  <si>
    <t>Dedução</t>
  </si>
  <si>
    <t>Despesas Médicas e Odontológicas</t>
  </si>
  <si>
    <t>Previdência Privada (PGBL)</t>
  </si>
  <si>
    <t>Pensão Alimentícia Judicial</t>
  </si>
  <si>
    <t>LANÇAMENTOS FINANCEIROS</t>
  </si>
  <si>
    <t>Cadastre rendimentos e despesas. Use a lista de categorias para manter os dados padronizados.</t>
  </si>
  <si>
    <t>Dica: mantenha descrição, data e documento da fonte preenchidos para facilitar conferência e auditoria.</t>
  </si>
  <si>
    <t>Data</t>
  </si>
  <si>
    <t>Descrição</t>
  </si>
  <si>
    <t>Valor (R$)</t>
  </si>
  <si>
    <t>CNPJ/CPF Fonte</t>
  </si>
  <si>
    <t>Salário Mensal</t>
  </si>
  <si>
    <t>12.345.678/0001-99</t>
  </si>
  <si>
    <t>Mensalidade Faculdade</t>
  </si>
  <si>
    <t>98.765.432/0001-10</t>
  </si>
  <si>
    <t>Consulta Odontológica</t>
  </si>
  <si>
    <t>111.222.333-44</t>
  </si>
  <si>
    <t>Distribuição de Lucros</t>
  </si>
  <si>
    <t>DASHBOARD FISCAL</t>
  </si>
  <si>
    <t>Visão executiva dos lançamentos e da estimativa automática do imposto.</t>
  </si>
  <si>
    <t>⌂ INÍCIO</t>
  </si>
  <si>
    <t>＋ LANÇAMENTOS</t>
  </si>
  <si>
    <t>⚙ TABELAS</t>
  </si>
  <si>
    <t>Ano de análise</t>
  </si>
  <si>
    <t>RENDIMENTOS TRIBUTÁVEIS</t>
  </si>
  <si>
    <t>RENDIMENTOS ISENTOS</t>
  </si>
  <si>
    <t>DEDUÇÕES PERMITIDAS</t>
  </si>
  <si>
    <t>BASE DE CÁLCULO</t>
  </si>
  <si>
    <t>ALÍQUOTA EFETIVA</t>
  </si>
  <si>
    <t>IMPOSTO ESTIMADO</t>
  </si>
  <si>
    <t>ANÁLISE AUTOMÁTICA</t>
  </si>
  <si>
    <t>EVOLUÇÃO MENSAL</t>
  </si>
  <si>
    <t>Mês</t>
  </si>
  <si>
    <t>Rendimentos</t>
  </si>
  <si>
    <t>Deduções</t>
  </si>
  <si>
    <t>Resultado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</si>
  <si>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</si>
  <si>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</si>
  <si>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</si>
  <si>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</si>
  <si>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</si>
  <si>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</si>
  <si>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</si>
  <si>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</si>
  <si>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</si>
  <si>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</si>
  <si>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</si>
  <si>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</si>
  <si>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Fonte: lançamentos registrados na aba Lancamentos. Os valores são uma estimativa gerencial e devem ser conferidos com a legislação e documentos oficiais.</t>
  </si>
  <si>
    <t>COMPOSIÇÃO POR TIPO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</si>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</sst>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0.0%"/>
  </numFmts>
  <fonts count="41">
    <font>
      <sz val="11"/>
      <color theme="1"/>
      <name val="Calibri"/>
      <charset val="134"/>
      <scheme val="minor"/>
    </font>
    <font>
      <b/>
      <sz val="24"/>
      <color rgb="FFFFFFFF"/>
      <name val="Calibri"/>
      <charset val="134"/>
      <scheme val="minor"/>
    </font>
    <font>
      <i/>
      <sz val="11"/>
      <color rgb="FF64748B"/>
      <name val="Calibri"/>
      <charset val="134"/>
      <scheme val="minor"/>
    </font>
    <font>
      <b/>
      <sz val="11"/>
      <color rgb="FF2563EB"/>
      <name val="Calibri"/>
      <charset val="134"/>
      <scheme val="minor"/>
    </font>
    <font>
      <b/>
      <sz val="11"/>
      <color rgb="FF64748B"/>
      <name val="Calibri"/>
      <charset val="134"/>
      <scheme val="minor"/>
    </font>
    <font>
      <b/>
      <sz val="10"/>
      <color rgb="FF64748B"/>
      <name val="Calibri"/>
      <charset val="134"/>
      <scheme val="minor"/>
    </font>
    <font>
      <b/>
      <sz val="20"/>
      <color rgb="FF2563EB"/>
      <name val="Calibri"/>
      <charset val="134"/>
      <scheme val="minor"/>
    </font>
    <font>
      <b/>
      <sz val="20"/>
      <color rgb="FF0F766E"/>
      <name val="Calibri"/>
      <charset val="134"/>
      <scheme val="minor"/>
    </font>
    <font>
      <b/>
      <sz val="20"/>
      <color rgb="FF7C3AED"/>
      <name val="Calibri"/>
      <charset val="134"/>
      <scheme val="minor"/>
    </font>
    <font>
      <b/>
      <sz val="20"/>
      <color rgb="FFD97706"/>
      <name val="Calibri"/>
      <charset val="134"/>
      <scheme val="minor"/>
    </font>
    <font>
      <b/>
      <sz val="20"/>
      <color rgb="FFDC2626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b/>
      <sz val="12"/>
      <color rgb="FF1F2937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9"/>
      <color rgb="FF64748B"/>
      <name val="Calibri"/>
      <charset val="134"/>
      <scheme val="minor"/>
    </font>
    <font>
      <b/>
      <sz val="18"/>
      <color rgb="FFFFFFFF"/>
      <name val="Calibri"/>
      <charset val="134"/>
      <scheme val="minor"/>
    </font>
    <font>
      <sz val="10"/>
      <color rgb="FF64748B"/>
      <name val="Calibri"/>
      <charset val="134"/>
      <scheme val="minor"/>
    </font>
    <font>
      <b/>
      <sz val="25"/>
      <color rgb="FFFFFFFF"/>
      <name val="Calibri"/>
      <charset val="134"/>
      <scheme val="minor"/>
    </font>
    <font>
      <i/>
      <sz val="12"/>
      <color rgb="FF64748B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0"/>
      <color rgb="FF1F2937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4F7FB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/>
      <top/>
      <bottom style="medium">
        <color rgb="FF17324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8" fontId="21" fillId="0" borderId="0" applyFont="0" applyFill="0" applyBorder="0" applyAlignment="0" applyProtection="0">
      <alignment vertical="center"/>
    </xf>
    <xf numFmtId="179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2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11" applyNumberFormat="0" applyAlignment="0" applyProtection="0">
      <alignment vertical="center"/>
    </xf>
    <xf numFmtId="0" fontId="31" fillId="14" borderId="12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15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1" fontId="0" fillId="4" borderId="1" xfId="0" applyNumberFormat="1" applyFill="1" applyBorder="1" applyAlignment="1">
      <alignment horizontal="center"/>
    </xf>
    <xf numFmtId="0" fontId="5" fillId="4" borderId="1" xfId="0" applyFont="1" applyFill="1" applyBorder="1" applyAlignment="1">
      <alignment vertical="center"/>
    </xf>
    <xf numFmtId="0" fontId="0" fillId="0" borderId="2" xfId="0" applyBorder="1"/>
    <xf numFmtId="180" fontId="6" fillId="4" borderId="1" xfId="0" applyNumberFormat="1" applyFont="1" applyFill="1" applyBorder="1" applyAlignment="1">
      <alignment vertical="center"/>
    </xf>
    <xf numFmtId="0" fontId="0" fillId="0" borderId="3" xfId="0" applyBorder="1"/>
    <xf numFmtId="180" fontId="7" fillId="4" borderId="1" xfId="0" applyNumberFormat="1" applyFont="1" applyFill="1" applyBorder="1" applyAlignment="1">
      <alignment vertical="center"/>
    </xf>
    <xf numFmtId="180" fontId="8" fillId="4" borderId="1" xfId="0" applyNumberFormat="1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5" fillId="5" borderId="1" xfId="0" applyFont="1" applyFill="1" applyBorder="1" applyAlignment="1">
      <alignment vertical="center"/>
    </xf>
    <xf numFmtId="181" fontId="9" fillId="4" borderId="1" xfId="0" applyNumberFormat="1" applyFont="1" applyFill="1" applyBorder="1" applyAlignment="1">
      <alignment vertical="center"/>
    </xf>
    <xf numFmtId="180" fontId="10" fillId="5" borderId="1" xfId="0" applyNumberFormat="1" applyFont="1" applyFill="1" applyBorder="1" applyAlignment="1">
      <alignment vertical="center"/>
    </xf>
    <xf numFmtId="0" fontId="11" fillId="3" borderId="0" xfId="0" applyFont="1" applyFill="1"/>
    <xf numFmtId="0" fontId="12" fillId="4" borderId="0" xfId="0" applyFont="1" applyFill="1" applyAlignment="1">
      <alignment vertical="center" wrapText="1"/>
    </xf>
    <xf numFmtId="0" fontId="13" fillId="6" borderId="0" xfId="0" applyFont="1" applyFill="1" applyAlignment="1">
      <alignment horizontal="center"/>
    </xf>
    <xf numFmtId="0" fontId="0" fillId="4" borderId="6" xfId="0" applyFill="1" applyBorder="1"/>
    <xf numFmtId="180" fontId="0" fillId="4" borderId="6" xfId="0" applyNumberFormat="1" applyFill="1" applyBorder="1"/>
    <xf numFmtId="0" fontId="14" fillId="2" borderId="0" xfId="0" applyFont="1" applyFill="1" applyAlignment="1">
      <alignment vertical="center" wrapText="1"/>
    </xf>
    <xf numFmtId="0" fontId="13" fillId="6" borderId="0" xfId="0" applyFont="1" applyFill="1"/>
    <xf numFmtId="180" fontId="0" fillId="2" borderId="0" xfId="0" applyNumberFormat="1" applyFill="1"/>
    <xf numFmtId="0" fontId="15" fillId="3" borderId="0" xfId="0" applyFont="1" applyFill="1" applyAlignment="1">
      <alignment vertical="center"/>
    </xf>
    <xf numFmtId="0" fontId="2" fillId="7" borderId="0" xfId="0" applyFont="1" applyFill="1"/>
    <xf numFmtId="0" fontId="16" fillId="8" borderId="0" xfId="0" applyFont="1" applyFill="1"/>
    <xf numFmtId="0" fontId="13" fillId="3" borderId="7" xfId="0" applyFont="1" applyFill="1" applyBorder="1" applyAlignment="1">
      <alignment horizontal="center"/>
    </xf>
    <xf numFmtId="58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180" fontId="0" fillId="0" borderId="6" xfId="0" applyNumberFormat="1" applyBorder="1" applyAlignment="1">
      <alignment vertical="center"/>
    </xf>
    <xf numFmtId="0" fontId="15" fillId="3" borderId="0" xfId="0" applyFont="1" applyFill="1"/>
    <xf numFmtId="0" fontId="2" fillId="0" borderId="0" xfId="0" applyFont="1"/>
    <xf numFmtId="4" fontId="0" fillId="0" borderId="6" xfId="0" applyNumberFormat="1" applyBorder="1" applyAlignment="1">
      <alignment vertical="center"/>
    </xf>
    <xf numFmtId="181" fontId="0" fillId="0" borderId="6" xfId="0" applyNumberFormat="1" applyBorder="1" applyAlignment="1">
      <alignment vertical="center"/>
    </xf>
    <xf numFmtId="0" fontId="17" fillId="3" borderId="0" xfId="0" applyFont="1" applyFill="1" applyAlignment="1">
      <alignment horizontal="left" vertical="center" wrapText="1"/>
    </xf>
    <xf numFmtId="0" fontId="18" fillId="2" borderId="0" xfId="0" applyFont="1" applyFill="1"/>
    <xf numFmtId="0" fontId="19" fillId="6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0" fillId="2" borderId="0" xfId="0" applyFont="1" applyFill="1" applyAlignment="1"/>
    <xf numFmtId="0" fontId="20" fillId="4" borderId="0" xfId="0" applyFont="1" applyFill="1"/>
    <xf numFmtId="0" fontId="14" fillId="2" borderId="0" xfId="0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Rendimentos x Deduções por mês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Dashboard!$C$23</c:f>
              <c:strCache>
                <c:ptCount val="1"/>
                <c:pt idx="0">
                  <c:v>Rendimentos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Dashboard!$B$24:$B$35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Dashboard!$C$24:$C$35</c:f>
              <c:numCache>
                <c:formatCode>"R$"\ #,##0.00</c:formatCode>
                <c:ptCount val="12"/>
                <c:pt idx="0">
                  <c:v>6500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Dashboard!$D$23</c:f>
              <c:strCache>
                <c:ptCount val="1"/>
                <c:pt idx="0">
                  <c:v>Deduções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Dashboard!$B$24:$B$35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Dashboard!$D$24:$D$35</c:f>
              <c:numCache>
                <c:formatCode>"R$"\ #,##0.00</c:formatCode>
                <c:ptCount val="12"/>
                <c:pt idx="0">
                  <c:v>800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Mês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pt-BR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Valor (R$)</a:t>
                </a:r>
              </a:p>
            </c:rich>
          </c:tx>
          <c:layout/>
          <c:overlay val="0"/>
        </c:title>
        <c:numFmt formatCode="&quot;R$&quot;\ 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26ca89-0c2d-42e9-be4e-ab16bf640171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pt-BR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Distribuição dos valores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Dashboard!$H$40</c:f>
              <c:strCache>
                <c:ptCount val="1"/>
                <c:pt idx="0">
                  <c:v>Valor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Dashboard!$G$41:$G$43</c:f>
              <c:strCache>
                <c:ptCount val="3"/>
                <c:pt idx="0">
                  <c:v>Tributável</c:v>
                </c:pt>
                <c:pt idx="1">
                  <c:v>Isento</c:v>
                </c:pt>
                <c:pt idx="2">
                  <c:v>Dedução</c:v>
                </c:pt>
              </c:strCache>
            </c:strRef>
          </c:cat>
          <c:val>
            <c:numRef>
              <c:f>Dashboard!$H$41:$H$43</c:f>
              <c:numCache>
                <c:formatCode>"R$"\ #,##0.00</c:formatCode>
                <c:ptCount val="3"/>
                <c:pt idx="0">
                  <c:v>6500</c:v>
                </c:pt>
                <c:pt idx="1">
                  <c:v>1200</c:v>
                </c:pt>
                <c:pt idx="2">
                  <c:v>800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540226-ba29-4906-9369-528c6e2870d4}"/>
      </c:ext>
    </c:extLst>
  </c:chart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21</xdr:row>
      <xdr:rowOff>0</xdr:rowOff>
    </xdr:from>
    <xdr:ext cx="5040000" cy="2908575"/>
    <xdr:graphicFrame>
      <xdr:nvGraphicFramePr>
        <xdr:cNvPr id="2" name="Chart 1"/>
        <xdr:cNvGraphicFramePr/>
      </xdr:nvGraphicFramePr>
      <xdr:xfrm>
        <a:off x="6534150" y="4029075"/>
        <a:ext cx="5039995" cy="2908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43</xdr:row>
      <xdr:rowOff>0</xdr:rowOff>
    </xdr:from>
    <xdr:ext cx="3600000" cy="2520000"/>
    <xdr:graphicFrame>
      <xdr:nvGraphicFramePr>
        <xdr:cNvPr id="3" name="Chart 2"/>
        <xdr:cNvGraphicFramePr/>
      </xdr:nvGraphicFramePr>
      <xdr:xfrm>
        <a:off x="6534150" y="8277225"/>
        <a:ext cx="3599815" cy="2519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#'Tabelas_Apoio'!A1" TargetMode="External"/><Relationship Id="rId2" Type="http://schemas.openxmlformats.org/officeDocument/2006/relationships/hyperlink" Target="#'Lancamentos'!A1" TargetMode="External"/><Relationship Id="rId1" Type="http://schemas.openxmlformats.org/officeDocument/2006/relationships/hyperlink" Target="#'Dashboard'!A1" TargetMode="External"/></Relationships>
</file>

<file path=xl/worksheets/_rels/sheet4.xml.rels><?xml version="1.0" encoding="UTF-8" standalone="yes"?>
<Relationships xmlns="http://schemas.openxmlformats.org/package/2006/relationships"><Relationship Id="rId4" Type="http://schemas.openxmlformats.org/officeDocument/2006/relationships/hyperlink" Target="#'Tabelas_Apoio'!A1" TargetMode="External"/><Relationship Id="rId3" Type="http://schemas.openxmlformats.org/officeDocument/2006/relationships/hyperlink" Target="#'Lancamentos'!A1" TargetMode="External"/><Relationship Id="rId2" Type="http://schemas.openxmlformats.org/officeDocument/2006/relationships/hyperlink" Target="#'Inicio'!A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showGridLines="0" tabSelected="1" zoomScale="90" zoomScaleNormal="90" topLeftCell="A4" workbookViewId="0">
      <selection activeCell="B27" sqref="B27:E27"/>
    </sheetView>
  </sheetViews>
  <sheetFormatPr defaultColWidth="9" defaultRowHeight="15" outlineLevelCol="5"/>
  <cols>
    <col min="1" max="1" width="3" customWidth="1"/>
    <col min="2" max="5" width="25" customWidth="1"/>
    <col min="6" max="6" width="3" customWidth="1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37" t="s">
        <v>0</v>
      </c>
      <c r="F2" s="1"/>
    </row>
    <row r="3" spans="1:6">
      <c r="A3" s="1"/>
      <c r="F3" s="1"/>
    </row>
    <row r="4" spans="1:6">
      <c r="A4" s="1"/>
      <c r="F4" s="1"/>
    </row>
    <row r="5" ht="15.75" spans="1:6">
      <c r="A5" s="1"/>
      <c r="B5" s="38" t="s">
        <v>1</v>
      </c>
      <c r="F5" s="1"/>
    </row>
    <row r="6" spans="1:6">
      <c r="A6" s="1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39" t="s">
        <v>2</v>
      </c>
      <c r="D8" s="40" t="s">
        <v>3</v>
      </c>
      <c r="F8" s="1"/>
    </row>
    <row r="9" spans="1:6">
      <c r="A9" s="1"/>
      <c r="F9" s="1"/>
    </row>
    <row r="10" spans="1:6">
      <c r="A10" s="1"/>
      <c r="F10" s="1"/>
    </row>
    <row r="11" spans="1:6">
      <c r="A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41" t="s">
        <v>4</v>
      </c>
      <c r="D13" s="42" t="s">
        <v>5</v>
      </c>
      <c r="F13" s="1"/>
    </row>
    <row r="14" spans="1:6">
      <c r="A14" s="1"/>
      <c r="F14" s="1"/>
    </row>
    <row r="15" spans="1:6">
      <c r="A15" s="1"/>
      <c r="F15" s="1"/>
    </row>
    <row r="16" spans="1:6">
      <c r="A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43"/>
      <c r="C19" s="43"/>
      <c r="D19" s="43"/>
      <c r="E19" s="43"/>
      <c r="F19" s="1"/>
    </row>
    <row r="20" spans="1:6">
      <c r="A20" s="1"/>
      <c r="B20" s="43"/>
      <c r="C20" s="43"/>
      <c r="D20" s="43"/>
      <c r="E20" s="43"/>
      <c r="F20" s="1"/>
    </row>
    <row r="21" spans="1:6">
      <c r="A21" s="1"/>
      <c r="B21" s="44"/>
      <c r="F21" s="1"/>
    </row>
    <row r="22" spans="1:6">
      <c r="A22" s="1"/>
      <c r="B22" s="44"/>
      <c r="F22" s="1"/>
    </row>
    <row r="23" spans="1:6">
      <c r="A23" s="1"/>
      <c r="B23" s="44"/>
      <c r="F23" s="1"/>
    </row>
    <row r="24" spans="1:6">
      <c r="A24" s="1"/>
      <c r="B24" s="44"/>
      <c r="F24" s="1"/>
    </row>
    <row r="25" spans="1:6">
      <c r="A25" s="1"/>
      <c r="B25" s="44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45" t="s">
        <v>6</v>
      </c>
      <c r="F27" s="1"/>
    </row>
  </sheetData>
  <mergeCells count="12">
    <mergeCell ref="B5:E5"/>
    <mergeCell ref="B21:E21"/>
    <mergeCell ref="B22:E22"/>
    <mergeCell ref="B23:E23"/>
    <mergeCell ref="B24:E24"/>
    <mergeCell ref="B25:E25"/>
    <mergeCell ref="B27:E27"/>
    <mergeCell ref="B13:C16"/>
    <mergeCell ref="D13:E16"/>
    <mergeCell ref="B2:E4"/>
    <mergeCell ref="B8:C11"/>
    <mergeCell ref="D8:E11"/>
  </mergeCells>
  <hyperlinks>
    <hyperlink ref="B8" r:id="rId1" display="📊  DASHBOARD&#10;&#10;Visão executiva e indicadores"/>
    <hyperlink ref="D8" r:id="rId2" display="＋  LANÇAMENTOS&#10;&#10;Cadastre e revise movimentações"/>
    <hyperlink ref="B13" r:id="rId3" display="⚙  TABELAS DE APOIO&#10;&#10;Categorias e parâmetros"/>
  </hyperlinks>
  <pageMargins left="0.75" right="0.7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3"/>
  <sheetViews>
    <sheetView showGridLines="0" zoomScale="90" zoomScaleNormal="90" workbookViewId="0">
      <pane ySplit="4" topLeftCell="A5" activePane="bottomLeft" state="frozen"/>
      <selection/>
      <selection pane="bottomLeft" activeCell="A1" sqref="A1:F1"/>
    </sheetView>
  </sheetViews>
  <sheetFormatPr defaultColWidth="9" defaultRowHeight="15" outlineLevelCol="5"/>
  <cols>
    <col min="1" max="1" width="40" customWidth="1"/>
    <col min="2" max="4" width="16" customWidth="1"/>
    <col min="5" max="5" width="13" customWidth="1"/>
    <col min="6" max="6" width="18" customWidth="1"/>
  </cols>
  <sheetData>
    <row r="1" ht="23.25" spans="1:6">
      <c r="A1" s="33" t="s">
        <v>7</v>
      </c>
    </row>
    <row r="2" spans="1:6">
      <c r="A2" s="34" t="s">
        <v>8</v>
      </c>
    </row>
    <row r="4" spans="1:6">
      <c r="A4" s="20" t="s">
        <v>9</v>
      </c>
      <c r="B4" s="20" t="s">
        <v>10</v>
      </c>
      <c r="C4" s="20" t="s">
        <v>11</v>
      </c>
      <c r="D4" s="20" t="s">
        <v>12</v>
      </c>
      <c r="E4" s="20" t="s">
        <v>13</v>
      </c>
      <c r="F4" s="20" t="s">
        <v>14</v>
      </c>
    </row>
    <row r="5" spans="1:6">
      <c r="A5" s="31" t="s">
        <v>15</v>
      </c>
      <c r="B5" s="31" t="s">
        <v>16</v>
      </c>
      <c r="C5" s="35">
        <v>0</v>
      </c>
      <c r="D5" s="35">
        <v>27110.4</v>
      </c>
      <c r="E5" s="36">
        <v>0</v>
      </c>
      <c r="F5" s="35">
        <v>0</v>
      </c>
    </row>
    <row r="6" spans="1:6">
      <c r="A6" s="31" t="s">
        <v>17</v>
      </c>
      <c r="B6" s="31" t="s">
        <v>16</v>
      </c>
      <c r="C6" s="35">
        <v>27110.41</v>
      </c>
      <c r="D6" s="35">
        <v>33919.8</v>
      </c>
      <c r="E6" s="36">
        <v>0.075</v>
      </c>
      <c r="F6" s="35">
        <v>2033.28</v>
      </c>
    </row>
    <row r="7" spans="1:6">
      <c r="A7" s="31" t="s">
        <v>18</v>
      </c>
      <c r="B7" s="31" t="s">
        <v>16</v>
      </c>
      <c r="C7" s="35">
        <v>33919.81</v>
      </c>
      <c r="D7" s="35">
        <v>45012.6</v>
      </c>
      <c r="E7" s="36">
        <v>0.15</v>
      </c>
      <c r="F7" s="35">
        <v>4577.27</v>
      </c>
    </row>
    <row r="8" spans="1:6">
      <c r="A8" s="31" t="s">
        <v>19</v>
      </c>
      <c r="B8" s="31" t="s">
        <v>20</v>
      </c>
      <c r="C8" s="35">
        <v>45012.61</v>
      </c>
      <c r="D8" s="35">
        <v>55976.16</v>
      </c>
      <c r="E8" s="36">
        <v>0.225</v>
      </c>
      <c r="F8" s="35">
        <v>7953.21</v>
      </c>
    </row>
    <row r="9" spans="1:6">
      <c r="A9" s="31" t="s">
        <v>21</v>
      </c>
      <c r="B9" s="31" t="s">
        <v>20</v>
      </c>
      <c r="C9" s="35">
        <v>55976.17</v>
      </c>
      <c r="D9" s="35">
        <v>9999999</v>
      </c>
      <c r="E9" s="36">
        <v>0.275</v>
      </c>
      <c r="F9" s="35">
        <v>10752.02</v>
      </c>
    </row>
    <row r="10" spans="1:6">
      <c r="A10" s="31" t="s">
        <v>22</v>
      </c>
      <c r="B10" s="31" t="s">
        <v>23</v>
      </c>
      <c r="C10" s="35"/>
      <c r="D10" s="35"/>
      <c r="E10" s="36"/>
      <c r="F10" s="35"/>
    </row>
    <row r="11" spans="1:6">
      <c r="A11" s="31" t="s">
        <v>24</v>
      </c>
      <c r="B11" s="31" t="s">
        <v>23</v>
      </c>
      <c r="C11" s="35"/>
      <c r="D11" s="35"/>
      <c r="E11" s="36"/>
      <c r="F11" s="35"/>
    </row>
    <row r="12" spans="1:6">
      <c r="A12" s="31" t="s">
        <v>25</v>
      </c>
      <c r="B12" s="31" t="s">
        <v>23</v>
      </c>
      <c r="C12" s="35"/>
      <c r="D12" s="35"/>
      <c r="E12" s="36"/>
      <c r="F12" s="35"/>
    </row>
    <row r="13" spans="1:6">
      <c r="A13" s="31" t="s">
        <v>26</v>
      </c>
      <c r="B13" s="31" t="s">
        <v>23</v>
      </c>
      <c r="C13" s="35"/>
      <c r="D13" s="35"/>
      <c r="E13" s="36"/>
      <c r="F13" s="35"/>
    </row>
  </sheetData>
  <autoFilter xmlns:etc="http://www.wps.cn/officeDocument/2017/etCustomData" ref="A4:F13" etc:filterBottomFollowUsedRange="0">
    <extLst/>
  </autoFilter>
  <mergeCells count="2">
    <mergeCell ref="A1:F1"/>
    <mergeCell ref="A2:F2"/>
  </mergeCells>
  <pageMargins left="0.75" right="0.75" top="1" bottom="1" header="0.5" footer="0.5"/>
  <pageSetup paperSize="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"/>
  <sheetViews>
    <sheetView showGridLines="0" zoomScale="90" zoomScaleNormal="90" workbookViewId="0">
      <pane ySplit="4" topLeftCell="A5" activePane="bottomLeft" state="frozen"/>
      <selection/>
      <selection pane="bottomLeft" activeCell="A1" sqref="A1:E1"/>
    </sheetView>
  </sheetViews>
  <sheetFormatPr defaultColWidth="9" defaultRowHeight="15" outlineLevelRow="7" outlineLevelCol="4"/>
  <cols>
    <col min="1" max="1" width="14" customWidth="1"/>
    <col min="2" max="2" width="34" customWidth="1"/>
    <col min="3" max="3" width="42" customWidth="1"/>
    <col min="4" max="4" width="18" customWidth="1"/>
    <col min="5" max="5" width="24" customWidth="1"/>
  </cols>
  <sheetData>
    <row r="1" ht="28" customHeight="1" spans="1:5">
      <c r="A1" s="26" t="s">
        <v>27</v>
      </c>
    </row>
    <row r="2" spans="1:5">
      <c r="A2" s="27" t="s">
        <v>28</v>
      </c>
    </row>
    <row r="3" spans="1:5">
      <c r="A3" s="28" t="s">
        <v>29</v>
      </c>
    </row>
    <row r="4" ht="15.75" spans="1:5">
      <c r="A4" s="29" t="s">
        <v>30</v>
      </c>
      <c r="B4" s="29" t="s">
        <v>31</v>
      </c>
      <c r="C4" s="29" t="s">
        <v>9</v>
      </c>
      <c r="D4" s="29" t="s">
        <v>32</v>
      </c>
      <c r="E4" s="29" t="s">
        <v>33</v>
      </c>
    </row>
    <row r="5" spans="1:5">
      <c r="A5" s="30">
        <v>46027</v>
      </c>
      <c r="B5" s="31" t="s">
        <v>34</v>
      </c>
      <c r="C5" s="31" t="s">
        <v>15</v>
      </c>
      <c r="D5" s="32">
        <v>6500</v>
      </c>
      <c r="E5" s="31" t="s">
        <v>35</v>
      </c>
    </row>
    <row r="6" spans="1:5">
      <c r="A6" s="30">
        <v>46032</v>
      </c>
      <c r="B6" s="31" t="s">
        <v>36</v>
      </c>
      <c r="C6" s="31" t="s">
        <v>22</v>
      </c>
      <c r="D6" s="32">
        <v>450</v>
      </c>
      <c r="E6" s="31" t="s">
        <v>37</v>
      </c>
    </row>
    <row r="7" spans="1:5">
      <c r="A7" s="30">
        <v>46037</v>
      </c>
      <c r="B7" s="31" t="s">
        <v>38</v>
      </c>
      <c r="C7" s="31" t="s">
        <v>24</v>
      </c>
      <c r="D7" s="32">
        <v>350</v>
      </c>
      <c r="E7" s="31" t="s">
        <v>39</v>
      </c>
    </row>
    <row r="8" spans="1:5">
      <c r="A8" s="30">
        <v>46042</v>
      </c>
      <c r="B8" s="31" t="s">
        <v>40</v>
      </c>
      <c r="C8" s="31" t="s">
        <v>21</v>
      </c>
      <c r="D8" s="32">
        <v>1200</v>
      </c>
      <c r="E8" s="31" t="s">
        <v>35</v>
      </c>
    </row>
  </sheetData>
  <autoFilter xmlns:etc="http://www.wps.cn/officeDocument/2017/etCustomData" ref="A4:E8" etc:filterBottomFollowUsedRange="0">
    <extLst/>
  </autoFilter>
  <mergeCells count="3">
    <mergeCell ref="A1:E1"/>
    <mergeCell ref="A2:E2"/>
    <mergeCell ref="A3:E3"/>
  </mergeCells>
  <conditionalFormatting sqref="D2:D5">
    <cfRule type="colorScale" priority="1">
      <colorScale>
        <cfvo type="min"/>
        <cfvo type="percentile" val="50"/>
        <cfvo type="max"/>
        <color rgb="FFE8F7F3"/>
        <color rgb="FFFFF7D6"/>
        <color rgb="FFFDECEC"/>
      </colorScale>
    </cfRule>
  </conditionalFormatting>
  <dataValidations count="3">
    <dataValidation type="date" operator="between" sqref="A5:A1000">
      <formula1>DATE(2020,1,1)</formula1>
      <formula2>DATE(2035,12,31)</formula2>
    </dataValidation>
    <dataValidation type="list" sqref="C5:C1000">
      <formula1>Tabelas_Apoio!$A$5:$A$13</formula1>
    </dataValidation>
    <dataValidation type="decimal" operator="greaterThanOrEqual" sqref="D5:D1000">
      <formula1>0</formula1>
    </dataValidation>
  </dataValidations>
  <pageMargins left="0.75" right="0.7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44"/>
  <sheetViews>
    <sheetView showGridLines="0" zoomScale="90" zoomScaleNormal="90" workbookViewId="0">
      <selection activeCell="A1" sqref="A1"/>
    </sheetView>
  </sheetViews>
  <sheetFormatPr defaultColWidth="9" defaultRowHeight="15"/>
  <cols>
    <col min="1" max="1" width="3" customWidth="1"/>
    <col min="2" max="2" width="27" customWidth="1"/>
    <col min="3" max="3" width="19" customWidth="1"/>
    <col min="4" max="4" width="3" customWidth="1"/>
    <col min="5" max="5" width="27" customWidth="1"/>
    <col min="6" max="6" width="19" customWidth="1"/>
    <col min="7" max="7" width="3" customWidth="1"/>
    <col min="8" max="8" width="27" customWidth="1"/>
    <col min="9" max="9" width="19" customWidth="1"/>
    <col min="10" max="10" width="3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1"/>
      <c r="B2" s="2" t="s">
        <v>41</v>
      </c>
      <c r="J2" s="1"/>
    </row>
    <row r="3" spans="1:10">
      <c r="A3" s="1"/>
      <c r="J3" s="1"/>
    </row>
    <row r="4" spans="1:10">
      <c r="A4" s="1"/>
      <c r="B4" s="3" t="s">
        <v>42</v>
      </c>
      <c r="J4" s="1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1"/>
      <c r="B6" s="4" t="s">
        <v>43</v>
      </c>
      <c r="C6" s="4" t="s">
        <v>44</v>
      </c>
      <c r="D6" s="4" t="s">
        <v>45</v>
      </c>
      <c r="E6" s="1"/>
      <c r="F6" s="1"/>
      <c r="G6" s="1"/>
      <c r="H6" s="5" t="s">
        <v>46</v>
      </c>
      <c r="I6" s="6">
        <v>2026</v>
      </c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>
      <c r="A8" s="1"/>
      <c r="B8" s="7" t="s">
        <v>47</v>
      </c>
      <c r="C8" s="8"/>
      <c r="D8" s="1"/>
      <c r="E8" s="7" t="s">
        <v>48</v>
      </c>
      <c r="F8" s="8"/>
      <c r="G8" s="1"/>
      <c r="H8" s="7" t="s">
        <v>49</v>
      </c>
      <c r="I8" s="8"/>
      <c r="J8" s="1"/>
    </row>
    <row r="9" spans="1:10">
      <c r="A9" s="1"/>
      <c r="B9" s="9">
        <f>SUMIFS(Lancamentos!$D:$D,Lancamentos!$C:$C,"Rendimento de Trabalho Assalariado",Lancamentos!$A:$A,"&gt;="&amp;DATE($I$6,1,1),Lancamentos!$A:$A,"&lt;"&amp;DATE($I$6+1,1,1))+SUMIFS(Lancamentos!$D:$D,Lancamentos!$C:$C,"Aposentadorias e Pensões",Lancamentos!$A:$A,"&gt;="&amp;DATE($I$6,1,1),Lancamentos!$A:$A,"&lt;"&amp;DATE($I$6+1,1,1))+SUMIFS(Lancamentos!$D:$D,Lancamentos!$C:$C,"Aluguéis Recebidos",Lancamentos!$A:$A,"&gt;="&amp;DATE($I$6,1,1),Lancamentos!$A:$A,"&lt;"&amp;DATE($I$6+1,1,1))</f>
        <v>6500</v>
      </c>
      <c r="C9" s="10"/>
      <c r="D9" s="1"/>
      <c r="E9" s="11">
        <f>SUMIFS(Lancamentos!$D:$D,Lancamentos!$C:$C,"Rendimentos de Poupança / LCI / LCA",Lancamentos!$A:$A,"&gt;="&amp;DATE($I$6,1,1),Lancamentos!$A:$A,"&lt;"&amp;DATE($I$6+1,1,1))+SUMIFS(Lancamentos!$D:$D,Lancamentos!$C:$C,"Dividendos e Lucros",Lancamentos!$A:$A,"&gt;="&amp;DATE($I$6,1,1),Lancamentos!$A:$A,"&lt;"&amp;DATE($I$6+1,1,1))</f>
        <v>1200</v>
      </c>
      <c r="F9" s="10"/>
      <c r="G9" s="1"/>
      <c r="H9" s="12">
        <f>SUMIFS(Lancamentos!$D:$D,Lancamentos!$C:$C,"Instrução / Educação",Lancamentos!$A:$A,"&gt;="&amp;DATE($I$6,1,1),Lancamentos!$A:$A,"&lt;"&amp;DATE($I$6+1,1,1))+SUMIFS(Lancamentos!$D:$D,Lancamentos!$C:$C,"Despesas Médicas e Odontológicas",Lancamentos!$A:$A,"&gt;="&amp;DATE($I$6,1,1),Lancamentos!$A:$A,"&lt;"&amp;DATE($I$6+1,1,1))+SUMIFS(Lancamentos!$D:$D,Lancamentos!$C:$C,"Previdência Privada (PGBL)",Lancamentos!$A:$A,"&gt;="&amp;DATE($I$6,1,1),Lancamentos!$A:$A,"&lt;"&amp;DATE($I$6+1,1,1))+SUMIFS(Lancamentos!$D:$D,Lancamentos!$C:$C,"Pensão Alimentícia Judicial",Lancamentos!$A:$A,"&gt;="&amp;DATE($I$6,1,1),Lancamentos!$A:$A,"&lt;"&amp;DATE($I$6+1,1,1))</f>
        <v>800</v>
      </c>
      <c r="I9" s="10"/>
      <c r="J9" s="1"/>
    </row>
    <row r="10" spans="1:10">
      <c r="A10" s="1"/>
      <c r="B10" s="13"/>
      <c r="C10" s="14"/>
      <c r="D10" s="1"/>
      <c r="E10" s="13"/>
      <c r="F10" s="14"/>
      <c r="G10" s="1"/>
      <c r="H10" s="13"/>
      <c r="I10" s="14"/>
      <c r="J10" s="1"/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7" t="s">
        <v>50</v>
      </c>
      <c r="C13" s="8"/>
      <c r="D13" s="1"/>
      <c r="E13" s="7" t="s">
        <v>51</v>
      </c>
      <c r="F13" s="8"/>
      <c r="G13" s="1"/>
      <c r="H13" s="15" t="s">
        <v>52</v>
      </c>
      <c r="I13" s="8"/>
      <c r="J13" s="1"/>
    </row>
    <row r="14" spans="1:10">
      <c r="A14" s="1"/>
      <c r="B14" s="9">
        <f>MAX(0,B9-H9)</f>
        <v>5700</v>
      </c>
      <c r="C14" s="10"/>
      <c r="D14" s="1"/>
      <c r="E14" s="16">
        <f>IFERROR(VLOOKUP(B14,Tabelas_Apoio!$C$5:$F$9,3,TRUE),0)</f>
        <v>0</v>
      </c>
      <c r="F14" s="10"/>
      <c r="G14" s="1"/>
      <c r="H14" s="17">
        <f>MAX(0,B14*E14-IFERROR(VLOOKUP(B14,Tabelas_Apoio!$C$5:$F$9,4,TRUE),0))</f>
        <v>0</v>
      </c>
      <c r="I14" s="10"/>
      <c r="J14" s="1"/>
    </row>
    <row r="15" spans="1:10">
      <c r="A15" s="1"/>
      <c r="B15" s="13"/>
      <c r="C15" s="14"/>
      <c r="D15" s="1"/>
      <c r="E15" s="13"/>
      <c r="F15" s="14"/>
      <c r="G15" s="1"/>
      <c r="H15" s="13"/>
      <c r="I15" s="14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7.25" spans="1:10">
      <c r="A18" s="1"/>
      <c r="B18" s="18" t="s">
        <v>53</v>
      </c>
      <c r="J18" s="1"/>
    </row>
    <row r="19" spans="1:10">
      <c r="A19" s="1"/>
      <c r="B19" s="19" t="str">
        <f>IF(H14=0,"✓ Nenhum imposto estimado com os lançamentos atuais.",IF(H14&lt;1000,"● Imposto estimado abaixo de R$ 1.000,00. Revise as deduções e os documentos.","▲ Imposto estimado relevante. Revise a base de cálculo e as deduções."))</f>
        <v>✓ Nenhum imposto estimado com os lançamentos atuais.</v>
      </c>
      <c r="J19" s="1"/>
    </row>
    <row r="20" spans="1:10">
      <c r="A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7.25" spans="1:10">
      <c r="A22" s="1"/>
      <c r="B22" s="18" t="s">
        <v>54</v>
      </c>
      <c r="G22" s="1"/>
      <c r="H22" s="1"/>
      <c r="I22" s="1"/>
      <c r="J22" s="1"/>
    </row>
    <row r="23" spans="1:10">
      <c r="A23" s="1"/>
      <c r="B23" s="20" t="s">
        <v>55</v>
      </c>
      <c r="C23" s="20" t="s">
        <v>56</v>
      </c>
      <c r="D23" s="20" t="s">
        <v>57</v>
      </c>
      <c r="E23" s="20" t="s">
        <v>58</v>
      </c>
      <c r="F23" s="1"/>
      <c r="G23" s="1"/>
      <c r="H23" s="1"/>
      <c r="I23" s="1"/>
      <c r="J23" s="1"/>
    </row>
    <row r="24" spans="1:10">
      <c r="A24" s="1"/>
      <c r="B24" s="21" t="s">
        <v>59</v>
      </c>
      <c r="C24" s="22">
        <f>SUMIFS(Lancamentos!$D:$D,Lancamentos!$A:$A,"&gt;="&amp;DATE($I$6,1,1),Lancamentos!$A:$A,"&lt;"&amp;EDATE(DATE($I$6,1,1),1),Lancamentos!$C:$C,"Rendimento de Trabalho Assalariado")+SUMIFS(Lancamentos!$D:$D,Lancamentos!$A:$A,"&gt;="&amp;DATE($I$6,1,1),Lancamentos!$A:$A,"&lt;"&amp;EDATE(DATE($I$6,1,1),1),Lancamentos!$C:$C,"Aposentadorias e Pensões")+SUMIFS(Lancamentos!$D:$D,Lancamentos!$A:$A,"&gt;="&amp;DATE($I$6,1,1),Lancamentos!$A:$A,"&lt;"&amp;EDATE(DATE($I$6,1,1),1),Lancamentos!$C:$C,"Aluguéis Recebidos")</f>
        <v>6500</v>
      </c>
      <c r="D24" s="22">
        <f>SUMIFS(Lancamentos!$D:$D,Lancamentos!$A:$A,"&gt;="&amp;DATE($I$6,1,1),Lancamentos!$A:$A,"&lt;"&amp;EDATE(DATE($I$6,1,1),1),Lancamentos!$C:$C,"Instrução / Educação")+SUMIFS(Lancamentos!$D:$D,Lancamentos!$A:$A,"&gt;="&amp;DATE($I$6,1,1),Lancamentos!$A:$A,"&lt;"&amp;EDATE(DATE($I$6,1,1),1),Lancamentos!$C:$C,"Despesas Médicas e Odontológicas")+SUMIFS(Lancamentos!$D:$D,Lancamentos!$A:$A,"&gt;="&amp;DATE($I$6,1,1),Lancamentos!$A:$A,"&lt;"&amp;EDATE(DATE($I$6,1,1),1),Lancamentos!$C:$C,"Previdência Privada (PGBL)")+SUMIFS(Lancamentos!$D:$D,Lancamentos!$A:$A,"&gt;="&amp;DATE($I$6,1,1),Lancamentos!$A:$A,"&lt;"&amp;EDATE(DATE($I$6,1,1),1),Lancamentos!$C:$C,"Pensão Alimentícia Judicial")</f>
        <v>800</v>
      </c>
      <c r="E24" s="22">
        <f t="shared" ref="E24:E35" si="0">C24-D24</f>
        <v>5700</v>
      </c>
      <c r="F24" s="1"/>
      <c r="G24" s="1"/>
      <c r="H24" s="1"/>
      <c r="I24" s="1"/>
      <c r="J24" s="1"/>
    </row>
    <row r="25" spans="1:10">
      <c r="A25" s="1"/>
      <c r="B25" s="21" t="s">
        <v>60</v>
      </c>
      <c r="C25" s="22">
        <f>SUMIFS(Lancamentos!$D:$D,Lancamentos!$A:$A,"&gt;="&amp;DATE($I$6,2,1),Lancamentos!$A:$A,"&lt;"&amp;EDATE(DATE($I$6,2,1),1),Lancamentos!$C:$C,"Rendimento de Trabalho Assalariado")+SUMIFS(Lancamentos!$D:$D,Lancamentos!$A:$A,"&gt;="&amp;DATE($I$6,2,1),Lancamentos!$A:$A,"&lt;"&amp;EDATE(DATE($I$6,2,1),1),Lancamentos!$C:$C,"Aposentadorias e Pensões")+SUMIFS(Lancamentos!$D:$D,Lancamentos!$A:$A,"&gt;="&amp;DATE($I$6,2,1),Lancamentos!$A:$A,"&lt;"&amp;EDATE(DATE($I$6,2,1),1),Lancamentos!$C:$C,"Aluguéis Recebidos")</f>
        <v>0</v>
      </c>
      <c r="D25" s="22">
        <f>SUMIFS(Lancamentos!$D:$D,Lancamentos!$A:$A,"&gt;="&amp;DATE($I$6,2,1),Lancamentos!$A:$A,"&lt;"&amp;EDATE(DATE($I$6,2,1),1),Lancamentos!$C:$C,"Instrução / Educação")+SUMIFS(Lancamentos!$D:$D,Lancamentos!$A:$A,"&gt;="&amp;DATE($I$6,2,1),Lancamentos!$A:$A,"&lt;"&amp;EDATE(DATE($I$6,2,1),1),Lancamentos!$C:$C,"Despesas Médicas e Odontológicas")+SUMIFS(Lancamentos!$D:$D,Lancamentos!$A:$A,"&gt;="&amp;DATE($I$6,2,1),Lancamentos!$A:$A,"&lt;"&amp;EDATE(DATE($I$6,2,1),1),Lancamentos!$C:$C,"Previdência Privada (PGBL)")+SUMIFS(Lancamentos!$D:$D,Lancamentos!$A:$A,"&gt;="&amp;DATE($I$6,2,1),Lancamentos!$A:$A,"&lt;"&amp;EDATE(DATE($I$6,2,1),1),Lancamentos!$C:$C,"Pensão Alimentícia Judicial")</f>
        <v>0</v>
      </c>
      <c r="E25" s="22">
        <f t="shared" si="0"/>
        <v>0</v>
      </c>
      <c r="F25" s="1"/>
      <c r="G25" s="1"/>
      <c r="H25" s="1"/>
      <c r="I25" s="1"/>
      <c r="J25" s="1"/>
    </row>
    <row r="26" spans="1:10">
      <c r="A26" s="1"/>
      <c r="B26" s="21" t="s">
        <v>61</v>
      </c>
      <c r="C26" s="22">
        <f>SUMIFS(Lancamentos!$D:$D,Lancamentos!$A:$A,"&gt;="&amp;DATE($I$6,3,1),Lancamentos!$A:$A,"&lt;"&amp;EDATE(DATE($I$6,3,1),1),Lancamentos!$C:$C,"Rendimento de Trabalho Assalariado")+SUMIFS(Lancamentos!$D:$D,Lancamentos!$A:$A,"&gt;="&amp;DATE($I$6,3,1),Lancamentos!$A:$A,"&lt;"&amp;EDATE(DATE($I$6,3,1),1),Lancamentos!$C:$C,"Aposentadorias e Pensões")+SUMIFS(Lancamentos!$D:$D,Lancamentos!$A:$A,"&gt;="&amp;DATE($I$6,3,1),Lancamentos!$A:$A,"&lt;"&amp;EDATE(DATE($I$6,3,1),1),Lancamentos!$C:$C,"Aluguéis Recebidos")</f>
        <v>0</v>
      </c>
      <c r="D26" s="22">
        <f>SUMIFS(Lancamentos!$D:$D,Lancamentos!$A:$A,"&gt;="&amp;DATE($I$6,3,1),Lancamentos!$A:$A,"&lt;"&amp;EDATE(DATE($I$6,3,1),1),Lancamentos!$C:$C,"Instrução / Educação")+SUMIFS(Lancamentos!$D:$D,Lancamentos!$A:$A,"&gt;="&amp;DATE($I$6,3,1),Lancamentos!$A:$A,"&lt;"&amp;EDATE(DATE($I$6,3,1),1),Lancamentos!$C:$C,"Despesas Médicas e Odontológicas")+SUMIFS(Lancamentos!$D:$D,Lancamentos!$A:$A,"&gt;="&amp;DATE($I$6,3,1),Lancamentos!$A:$A,"&lt;"&amp;EDATE(DATE($I$6,3,1),1),Lancamentos!$C:$C,"Previdência Privada (PGBL)")+SUMIFS(Lancamentos!$D:$D,Lancamentos!$A:$A,"&gt;="&amp;DATE($I$6,3,1),Lancamentos!$A:$A,"&lt;"&amp;EDATE(DATE($I$6,3,1),1),Lancamentos!$C:$C,"Pensão Alimentícia Judicial")</f>
        <v>0</v>
      </c>
      <c r="E26" s="22">
        <f t="shared" si="0"/>
        <v>0</v>
      </c>
      <c r="F26" s="1"/>
      <c r="G26" s="1"/>
      <c r="H26" s="1"/>
      <c r="I26" s="1"/>
      <c r="J26" s="1"/>
    </row>
    <row r="27" spans="1:10">
      <c r="A27" s="1"/>
      <c r="B27" s="21" t="s">
        <v>62</v>
      </c>
      <c r="C27" s="22">
        <f>SUMIFS(Lancamentos!$D:$D,Lancamentos!$A:$A,"&gt;="&amp;DATE($I$6,4,1),Lancamentos!$A:$A,"&lt;"&amp;EDATE(DATE($I$6,4,1),1),Lancamentos!$C:$C,"Rendimento de Trabalho Assalariado")+SUMIFS(Lancamentos!$D:$D,Lancamentos!$A:$A,"&gt;="&amp;DATE($I$6,4,1),Lancamentos!$A:$A,"&lt;"&amp;EDATE(DATE($I$6,4,1),1),Lancamentos!$C:$C,"Aposentadorias e Pensões")+SUMIFS(Lancamentos!$D:$D,Lancamentos!$A:$A,"&gt;="&amp;DATE($I$6,4,1),Lancamentos!$A:$A,"&lt;"&amp;EDATE(DATE($I$6,4,1),1),Lancamentos!$C:$C,"Aluguéis Recebidos")</f>
        <v>0</v>
      </c>
      <c r="D27" s="22">
        <f>SUMIFS(Lancamentos!$D:$D,Lancamentos!$A:$A,"&gt;="&amp;DATE($I$6,4,1),Lancamentos!$A:$A,"&lt;"&amp;EDATE(DATE($I$6,4,1),1),Lancamentos!$C:$C,"Instrução / Educação")+SUMIFS(Lancamentos!$D:$D,Lancamentos!$A:$A,"&gt;="&amp;DATE($I$6,4,1),Lancamentos!$A:$A,"&lt;"&amp;EDATE(DATE($I$6,4,1),1),Lancamentos!$C:$C,"Despesas Médicas e Odontológicas")+SUMIFS(Lancamentos!$D:$D,Lancamentos!$A:$A,"&gt;="&amp;DATE($I$6,4,1),Lancamentos!$A:$A,"&lt;"&amp;EDATE(DATE($I$6,4,1),1),Lancamentos!$C:$C,"Previdência Privada (PGBL)")+SUMIFS(Lancamentos!$D:$D,Lancamentos!$A:$A,"&gt;="&amp;DATE($I$6,4,1),Lancamentos!$A:$A,"&lt;"&amp;EDATE(DATE($I$6,4,1),1),Lancamentos!$C:$C,"Pensão Alimentícia Judicial")</f>
        <v>0</v>
      </c>
      <c r="E27" s="22">
        <f t="shared" si="0"/>
        <v>0</v>
      </c>
      <c r="F27" s="1"/>
      <c r="G27" s="1"/>
      <c r="H27" s="1"/>
      <c r="I27" s="1"/>
      <c r="J27" s="1"/>
    </row>
    <row r="28" spans="1:10">
      <c r="A28" s="1"/>
      <c r="B28" s="21" t="s">
        <v>63</v>
      </c>
      <c r="C28" s="22">
        <f>SUMIFS(Lancamentos!$D:$D,Lancamentos!$A:$A,"&gt;="&amp;DATE($I$6,5,1),Lancamentos!$A:$A,"&lt;"&amp;EDATE(DATE($I$6,5,1),1),Lancamentos!$C:$C,"Rendimento de Trabalho Assalariado")+SUMIFS(Lancamentos!$D:$D,Lancamentos!$A:$A,"&gt;="&amp;DATE($I$6,5,1),Lancamentos!$A:$A,"&lt;"&amp;EDATE(DATE($I$6,5,1),1),Lancamentos!$C:$C,"Aposentadorias e Pensões")+SUMIFS(Lancamentos!$D:$D,Lancamentos!$A:$A,"&gt;="&amp;DATE($I$6,5,1),Lancamentos!$A:$A,"&lt;"&amp;EDATE(DATE($I$6,5,1),1),Lancamentos!$C:$C,"Aluguéis Recebidos")</f>
        <v>0</v>
      </c>
      <c r="D28" s="22">
        <f>SUMIFS(Lancamentos!$D:$D,Lancamentos!$A:$A,"&gt;="&amp;DATE($I$6,5,1),Lancamentos!$A:$A,"&lt;"&amp;EDATE(DATE($I$6,5,1),1),Lancamentos!$C:$C,"Instrução / Educação")+SUMIFS(Lancamentos!$D:$D,Lancamentos!$A:$A,"&gt;="&amp;DATE($I$6,5,1),Lancamentos!$A:$A,"&lt;"&amp;EDATE(DATE($I$6,5,1),1),Lancamentos!$C:$C,"Despesas Médicas e Odontológicas")+SUMIFS(Lancamentos!$D:$D,Lancamentos!$A:$A,"&gt;="&amp;DATE($I$6,5,1),Lancamentos!$A:$A,"&lt;"&amp;EDATE(DATE($I$6,5,1),1),Lancamentos!$C:$C,"Previdência Privada (PGBL)")+SUMIFS(Lancamentos!$D:$D,Lancamentos!$A:$A,"&gt;="&amp;DATE($I$6,5,1),Lancamentos!$A:$A,"&lt;"&amp;EDATE(DATE($I$6,5,1),1),Lancamentos!$C:$C,"Pensão Alimentícia Judicial")</f>
        <v>0</v>
      </c>
      <c r="E28" s="22">
        <f t="shared" si="0"/>
        <v>0</v>
      </c>
      <c r="F28" s="1"/>
      <c r="G28" s="1"/>
      <c r="H28" s="1"/>
      <c r="I28" s="1"/>
      <c r="J28" s="1"/>
    </row>
    <row r="29" spans="1:10">
      <c r="A29" s="1"/>
      <c r="B29" s="21" t="s">
        <v>64</v>
      </c>
      <c r="C29" s="22">
        <f>SUMIFS(Lancamentos!$D:$D,Lancamentos!$A:$A,"&gt;="&amp;DATE($I$6,6,1),Lancamentos!$A:$A,"&lt;"&amp;EDATE(DATE($I$6,6,1),1),Lancamentos!$C:$C,"Rendimento de Trabalho Assalariado")+SUMIFS(Lancamentos!$D:$D,Lancamentos!$A:$A,"&gt;="&amp;DATE($I$6,6,1),Lancamentos!$A:$A,"&lt;"&amp;EDATE(DATE($I$6,6,1),1),Lancamentos!$C:$C,"Aposentadorias e Pensões")+SUMIFS(Lancamentos!$D:$D,Lancamentos!$A:$A,"&gt;="&amp;DATE($I$6,6,1),Lancamentos!$A:$A,"&lt;"&amp;EDATE(DATE($I$6,6,1),1),Lancamentos!$C:$C,"Aluguéis Recebidos")</f>
        <v>0</v>
      </c>
      <c r="D29" s="22">
        <f>SUMIFS(Lancamentos!$D:$D,Lancamentos!$A:$A,"&gt;="&amp;DATE($I$6,6,1),Lancamentos!$A:$A,"&lt;"&amp;EDATE(DATE($I$6,6,1),1),Lancamentos!$C:$C,"Instrução / Educação")+SUMIFS(Lancamentos!$D:$D,Lancamentos!$A:$A,"&gt;="&amp;DATE($I$6,6,1),Lancamentos!$A:$A,"&lt;"&amp;EDATE(DATE($I$6,6,1),1),Lancamentos!$C:$C,"Despesas Médicas e Odontológicas")+SUMIFS(Lancamentos!$D:$D,Lancamentos!$A:$A,"&gt;="&amp;DATE($I$6,6,1),Lancamentos!$A:$A,"&lt;"&amp;EDATE(DATE($I$6,6,1),1),Lancamentos!$C:$C,"Previdência Privada (PGBL)")+SUMIFS(Lancamentos!$D:$D,Lancamentos!$A:$A,"&gt;="&amp;DATE($I$6,6,1),Lancamentos!$A:$A,"&lt;"&amp;EDATE(DATE($I$6,6,1),1),Lancamentos!$C:$C,"Pensão Alimentícia Judicial")</f>
        <v>0</v>
      </c>
      <c r="E29" s="22">
        <f t="shared" si="0"/>
        <v>0</v>
      </c>
      <c r="F29" s="1"/>
      <c r="G29" s="1"/>
      <c r="H29" s="1"/>
      <c r="I29" s="1"/>
      <c r="J29" s="1"/>
    </row>
    <row r="30" spans="1:10">
      <c r="A30" s="1"/>
      <c r="B30" s="21" t="s">
        <v>65</v>
      </c>
      <c r="C30" s="22">
        <f>SUMIFS(Lancamentos!$D:$D,Lancamentos!$A:$A,"&gt;="&amp;DATE($I$6,7,1),Lancamentos!$A:$A,"&lt;"&amp;EDATE(DATE($I$6,7,1),1),Lancamentos!$C:$C,"Rendimento de Trabalho Assalariado")+SUMIFS(Lancamentos!$D:$D,Lancamentos!$A:$A,"&gt;="&amp;DATE($I$6,7,1),Lancamentos!$A:$A,"&lt;"&amp;EDATE(DATE($I$6,7,1),1),Lancamentos!$C:$C,"Aposentadorias e Pensões")+SUMIFS(Lancamentos!$D:$D,Lancamentos!$A:$A,"&gt;="&amp;DATE($I$6,7,1),Lancamentos!$A:$A,"&lt;"&amp;EDATE(DATE($I$6,7,1),1),Lancamentos!$C:$C,"Aluguéis Recebidos")</f>
        <v>0</v>
      </c>
      <c r="D30" s="22">
        <f>SUMIFS(Lancamentos!$D:$D,Lancamentos!$A:$A,"&gt;="&amp;DATE($I$6,7,1),Lancamentos!$A:$A,"&lt;"&amp;EDATE(DATE($I$6,7,1),1),Lancamentos!$C:$C,"Instrução / Educação")+SUMIFS(Lancamentos!$D:$D,Lancamentos!$A:$A,"&gt;="&amp;DATE($I$6,7,1),Lancamentos!$A:$A,"&lt;"&amp;EDATE(DATE($I$6,7,1),1),Lancamentos!$C:$C,"Despesas Médicas e Odontológicas")+SUMIFS(Lancamentos!$D:$D,Lancamentos!$A:$A,"&gt;="&amp;DATE($I$6,7,1),Lancamentos!$A:$A,"&lt;"&amp;EDATE(DATE($I$6,7,1),1),Lancamentos!$C:$C,"Previdência Privada (PGBL)")+SUMIFS(Lancamentos!$D:$D,Lancamentos!$A:$A,"&gt;="&amp;DATE($I$6,7,1),Lancamentos!$A:$A,"&lt;"&amp;EDATE(DATE($I$6,7,1),1),Lancamentos!$C:$C,"Pensão Alimentícia Judicial")</f>
        <v>0</v>
      </c>
      <c r="E30" s="22">
        <f t="shared" si="0"/>
        <v>0</v>
      </c>
      <c r="F30" s="1"/>
      <c r="G30" s="1"/>
      <c r="H30" s="1"/>
      <c r="I30" s="1"/>
      <c r="J30" s="1"/>
    </row>
    <row r="31" spans="1:10">
      <c r="A31" s="1"/>
      <c r="B31" s="21" t="s">
        <v>66</v>
      </c>
      <c r="C31" s="22">
        <f>SUMIFS(Lancamentos!$D:$D,Lancamentos!$A:$A,"&gt;="&amp;DATE($I$6,8,1),Lancamentos!$A:$A,"&lt;"&amp;EDATE(DATE($I$6,8,1),1),Lancamentos!$C:$C,"Rendimento de Trabalho Assalariado")+SUMIFS(Lancamentos!$D:$D,Lancamentos!$A:$A,"&gt;="&amp;DATE($I$6,8,1),Lancamentos!$A:$A,"&lt;"&amp;EDATE(DATE($I$6,8,1),1),Lancamentos!$C:$C,"Aposentadorias e Pensões")+SUMIFS(Lancamentos!$D:$D,Lancamentos!$A:$A,"&gt;="&amp;DATE($I$6,8,1),Lancamentos!$A:$A,"&lt;"&amp;EDATE(DATE($I$6,8,1),1),Lancamentos!$C:$C,"Aluguéis Recebidos")</f>
        <v>0</v>
      </c>
      <c r="D31" s="22">
        <f>SUMIFS(Lancamentos!$D:$D,Lancamentos!$A:$A,"&gt;="&amp;DATE($I$6,8,1),Lancamentos!$A:$A,"&lt;"&amp;EDATE(DATE($I$6,8,1),1),Lancamentos!$C:$C,"Instrução / Educação")+SUMIFS(Lancamentos!$D:$D,Lancamentos!$A:$A,"&gt;="&amp;DATE($I$6,8,1),Lancamentos!$A:$A,"&lt;"&amp;EDATE(DATE($I$6,8,1),1),Lancamentos!$C:$C,"Despesas Médicas e Odontológicas")+SUMIFS(Lancamentos!$D:$D,Lancamentos!$A:$A,"&gt;="&amp;DATE($I$6,8,1),Lancamentos!$A:$A,"&lt;"&amp;EDATE(DATE($I$6,8,1),1),Lancamentos!$C:$C,"Previdência Privada (PGBL)")+SUMIFS(Lancamentos!$D:$D,Lancamentos!$A:$A,"&gt;="&amp;DATE($I$6,8,1),Lancamentos!$A:$A,"&lt;"&amp;EDATE(DATE($I$6,8,1),1),Lancamentos!$C:$C,"Pensão Alimentícia Judicial")</f>
        <v>0</v>
      </c>
      <c r="E31" s="22">
        <f t="shared" si="0"/>
        <v>0</v>
      </c>
      <c r="F31" s="1"/>
      <c r="G31" s="1"/>
      <c r="H31" s="1"/>
      <c r="I31" s="1"/>
      <c r="J31" s="1"/>
    </row>
    <row r="32" spans="1:10">
      <c r="A32" s="1"/>
      <c r="B32" s="21" t="s">
        <v>67</v>
      </c>
      <c r="C32" s="22">
        <f>SUMIFS(Lancamentos!$D:$D,Lancamentos!$A:$A,"&gt;="&amp;DATE($I$6,9,1),Lancamentos!$A:$A,"&lt;"&amp;EDATE(DATE($I$6,9,1),1),Lancamentos!$C:$C,"Rendimento de Trabalho Assalariado")+SUMIFS(Lancamentos!$D:$D,Lancamentos!$A:$A,"&gt;="&amp;DATE($I$6,9,1),Lancamentos!$A:$A,"&lt;"&amp;EDATE(DATE($I$6,9,1),1),Lancamentos!$C:$C,"Aposentadorias e Pensões")+SUMIFS(Lancamentos!$D:$D,Lancamentos!$A:$A,"&gt;="&amp;DATE($I$6,9,1),Lancamentos!$A:$A,"&lt;"&amp;EDATE(DATE($I$6,9,1),1),Lancamentos!$C:$C,"Aluguéis Recebidos")</f>
        <v>0</v>
      </c>
      <c r="D32" s="22">
        <f>SUMIFS(Lancamentos!$D:$D,Lancamentos!$A:$A,"&gt;="&amp;DATE($I$6,9,1),Lancamentos!$A:$A,"&lt;"&amp;EDATE(DATE($I$6,9,1),1),Lancamentos!$C:$C,"Instrução / Educação")+SUMIFS(Lancamentos!$D:$D,Lancamentos!$A:$A,"&gt;="&amp;DATE($I$6,9,1),Lancamentos!$A:$A,"&lt;"&amp;EDATE(DATE($I$6,9,1),1),Lancamentos!$C:$C,"Despesas Médicas e Odontológicas")+SUMIFS(Lancamentos!$D:$D,Lancamentos!$A:$A,"&gt;="&amp;DATE($I$6,9,1),Lancamentos!$A:$A,"&lt;"&amp;EDATE(DATE($I$6,9,1),1),Lancamentos!$C:$C,"Previdência Privada (PGBL)")+SUMIFS(Lancamentos!$D:$D,Lancamentos!$A:$A,"&gt;="&amp;DATE($I$6,9,1),Lancamentos!$A:$A,"&lt;"&amp;EDATE(DATE($I$6,9,1),1),Lancamentos!$C:$C,"Pensão Alimentícia Judicial")</f>
        <v>0</v>
      </c>
      <c r="E32" s="22">
        <f t="shared" si="0"/>
        <v>0</v>
      </c>
      <c r="F32" s="1"/>
      <c r="G32" s="1"/>
      <c r="H32" s="1"/>
      <c r="I32" s="1"/>
      <c r="J32" s="1"/>
    </row>
    <row r="33" spans="1:10">
      <c r="A33" s="1"/>
      <c r="B33" s="21" t="s">
        <v>68</v>
      </c>
      <c r="C33" s="22">
        <f>SUMIFS(Lancamentos!$D:$D,Lancamentos!$A:$A,"&gt;="&amp;DATE($I$6,10,1),Lancamentos!$A:$A,"&lt;"&amp;EDATE(DATE($I$6,10,1),1),Lancamentos!$C:$C,"Rendimento de Trabalho Assalariado")+SUMIFS(Lancamentos!$D:$D,Lancamentos!$A:$A,"&gt;="&amp;DATE($I$6,10,1),Lancamentos!$A:$A,"&lt;"&amp;EDATE(DATE($I$6,10,1),1),Lancamentos!$C:$C,"Aposentadorias e Pensões")+SUMIFS(Lancamentos!$D:$D,Lancamentos!$A:$A,"&gt;="&amp;DATE($I$6,10,1),Lancamentos!$A:$A,"&lt;"&amp;EDATE(DATE($I$6,10,1),1),Lancamentos!$C:$C,"Aluguéis Recebidos")</f>
        <v>0</v>
      </c>
      <c r="D33" s="22">
        <f>SUMIFS(Lancamentos!$D:$D,Lancamentos!$A:$A,"&gt;="&amp;DATE($I$6,10,1),Lancamentos!$A:$A,"&lt;"&amp;EDATE(DATE($I$6,10,1),1),Lancamentos!$C:$C,"Instrução / Educação")+SUMIFS(Lancamentos!$D:$D,Lancamentos!$A:$A,"&gt;="&amp;DATE($I$6,10,1),Lancamentos!$A:$A,"&lt;"&amp;EDATE(DATE($I$6,10,1),1),Lancamentos!$C:$C,"Despesas Médicas e Odontológicas")+SUMIFS(Lancamentos!$D:$D,Lancamentos!$A:$A,"&gt;="&amp;DATE($I$6,10,1),Lancamentos!$A:$A,"&lt;"&amp;EDATE(DATE($I$6,10,1),1),Lancamentos!$C:$C,"Previdência Privada (PGBL)")+SUMIFS(Lancamentos!$D:$D,Lancamentos!$A:$A,"&gt;="&amp;DATE($I$6,10,1),Lancamentos!$A:$A,"&lt;"&amp;EDATE(DATE($I$6,10,1),1),Lancamentos!$C:$C,"Pensão Alimentícia Judicial")</f>
        <v>0</v>
      </c>
      <c r="E33" s="22">
        <f t="shared" si="0"/>
        <v>0</v>
      </c>
      <c r="F33" s="1"/>
      <c r="G33" s="1"/>
      <c r="H33" s="1"/>
      <c r="I33" s="1"/>
      <c r="J33" s="1"/>
    </row>
    <row r="34" spans="1:10">
      <c r="A34" s="1"/>
      <c r="B34" s="21" t="s">
        <v>69</v>
      </c>
      <c r="C34" s="22">
        <f>SUMIFS(Lancamentos!$D:$D,Lancamentos!$A:$A,"&gt;="&amp;DATE($I$6,11,1),Lancamentos!$A:$A,"&lt;"&amp;EDATE(DATE($I$6,11,1),1),Lancamentos!$C:$C,"Rendimento de Trabalho Assalariado")+SUMIFS(Lancamentos!$D:$D,Lancamentos!$A:$A,"&gt;="&amp;DATE($I$6,11,1),Lancamentos!$A:$A,"&lt;"&amp;EDATE(DATE($I$6,11,1),1),Lancamentos!$C:$C,"Aposentadorias e Pensões")+SUMIFS(Lancamentos!$D:$D,Lancamentos!$A:$A,"&gt;="&amp;DATE($I$6,11,1),Lancamentos!$A:$A,"&lt;"&amp;EDATE(DATE($I$6,11,1),1),Lancamentos!$C:$C,"Aluguéis Recebidos")</f>
        <v>0</v>
      </c>
      <c r="D34" s="22">
        <f>SUMIFS(Lancamentos!$D:$D,Lancamentos!$A:$A,"&gt;="&amp;DATE($I$6,11,1),Lancamentos!$A:$A,"&lt;"&amp;EDATE(DATE($I$6,11,1),1),Lancamentos!$C:$C,"Instrução / Educação")+SUMIFS(Lancamentos!$D:$D,Lancamentos!$A:$A,"&gt;="&amp;DATE($I$6,11,1),Lancamentos!$A:$A,"&lt;"&amp;EDATE(DATE($I$6,11,1),1),Lancamentos!$C:$C,"Despesas Médicas e Odontológicas")+SUMIFS(Lancamentos!$D:$D,Lancamentos!$A:$A,"&gt;="&amp;DATE($I$6,11,1),Lancamentos!$A:$A,"&lt;"&amp;EDATE(DATE($I$6,11,1),1),Lancamentos!$C:$C,"Previdência Privada (PGBL)")+SUMIFS(Lancamentos!$D:$D,Lancamentos!$A:$A,"&gt;="&amp;DATE($I$6,11,1),Lancamentos!$A:$A,"&lt;"&amp;EDATE(DATE($I$6,11,1),1),Lancamentos!$C:$C,"Pensão Alimentícia Judicial")</f>
        <v>0</v>
      </c>
      <c r="E34" s="22">
        <f t="shared" si="0"/>
        <v>0</v>
      </c>
      <c r="F34" s="1"/>
      <c r="G34" s="1"/>
      <c r="H34" s="1"/>
      <c r="I34" s="1"/>
      <c r="J34" s="1"/>
    </row>
    <row r="35" spans="1:10">
      <c r="A35" s="1"/>
      <c r="B35" s="21" t="s">
        <v>70</v>
      </c>
      <c r="C35" s="22">
        <f>SUMIFS(Lancamentos!$D:$D,Lancamentos!$A:$A,"&gt;="&amp;DATE($I$6,12,1),Lancamentos!$A:$A,"&lt;"&amp;EDATE(DATE($I$6,12,1),1),Lancamentos!$C:$C,"Rendimento de Trabalho Assalariado")+SUMIFS(Lancamentos!$D:$D,Lancamentos!$A:$A,"&gt;="&amp;DATE($I$6,12,1),Lancamentos!$A:$A,"&lt;"&amp;EDATE(DATE($I$6,12,1),1),Lancamentos!$C:$C,"Aposentadorias e Pensões")+SUMIFS(Lancamentos!$D:$D,Lancamentos!$A:$A,"&gt;="&amp;DATE($I$6,12,1),Lancamentos!$A:$A,"&lt;"&amp;EDATE(DATE($I$6,12,1),1),Lancamentos!$C:$C,"Aluguéis Recebidos")</f>
        <v>0</v>
      </c>
      <c r="D35" s="22">
        <f>SUMIFS(Lancamentos!$D:$D,Lancamentos!$A:$A,"&gt;="&amp;DATE($I$6,12,1),Lancamentos!$A:$A,"&lt;"&amp;EDATE(DATE($I$6,12,1),1),Lancamentos!$C:$C,"Instrução / Educação")+SUMIFS(Lancamentos!$D:$D,Lancamentos!$A:$A,"&gt;="&amp;DATE($I$6,12,1),Lancamentos!$A:$A,"&lt;"&amp;EDATE(DATE($I$6,12,1),1),Lancamentos!$C:$C,"Despesas Médicas e Odontológicas")+SUMIFS(Lancamentos!$D:$D,Lancamentos!$A:$A,"&gt;="&amp;DATE($I$6,12,1),Lancamentos!$A:$A,"&lt;"&amp;EDATE(DATE($I$6,12,1),1),Lancamentos!$C:$C,"Previdência Privada (PGBL)")+SUMIFS(Lancamentos!$D:$D,Lancamentos!$A:$A,"&gt;="&amp;DATE($I$6,12,1),Lancamentos!$A:$A,"&lt;"&amp;EDATE(DATE($I$6,12,1),1),Lancamentos!$C:$C,"Pensão Alimentícia Judicial")</f>
        <v>0</v>
      </c>
      <c r="E35" s="22">
        <f t="shared" si="0"/>
        <v>0</v>
      </c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23" t="s">
        <v>71</v>
      </c>
      <c r="J37" s="1"/>
    </row>
    <row r="38" spans="1:10">
      <c r="A38" s="1"/>
      <c r="J38" s="1"/>
    </row>
    <row r="39" ht="17.25" spans="1:10">
      <c r="A39" s="1"/>
      <c r="B39" s="1"/>
      <c r="C39" s="1"/>
      <c r="D39" s="1"/>
      <c r="E39" s="1"/>
      <c r="F39" s="1"/>
      <c r="G39" s="18" t="s">
        <v>72</v>
      </c>
      <c r="J39" s="1"/>
    </row>
    <row r="40" spans="1:10">
      <c r="A40" s="1"/>
      <c r="B40" s="1"/>
      <c r="C40" s="1"/>
      <c r="D40" s="1"/>
      <c r="E40" s="1"/>
      <c r="F40" s="1"/>
      <c r="G40" s="24" t="s">
        <v>10</v>
      </c>
      <c r="H40" s="24" t="s">
        <v>73</v>
      </c>
      <c r="I40" s="1"/>
      <c r="J40" s="1"/>
    </row>
    <row r="41" spans="1:10">
      <c r="A41" s="1"/>
      <c r="B41" s="1"/>
      <c r="C41" s="1"/>
      <c r="D41" s="1"/>
      <c r="E41" s="1"/>
      <c r="F41" s="1"/>
      <c r="G41" s="1" t="s">
        <v>16</v>
      </c>
      <c r="H41" s="25">
        <f>B9</f>
        <v>6500</v>
      </c>
      <c r="I41" s="1"/>
      <c r="J41" s="1"/>
    </row>
    <row r="42" spans="1:10">
      <c r="A42" s="1"/>
      <c r="B42" s="1"/>
      <c r="C42" s="1"/>
      <c r="D42" s="1"/>
      <c r="E42" s="1"/>
      <c r="F42" s="1"/>
      <c r="G42" s="1" t="s">
        <v>20</v>
      </c>
      <c r="H42" s="25">
        <f>E9</f>
        <v>1200</v>
      </c>
      <c r="I42" s="1"/>
      <c r="J42" s="1"/>
    </row>
    <row r="43" spans="1:10">
      <c r="A43" s="1"/>
      <c r="B43" s="1"/>
      <c r="C43" s="1"/>
      <c r="D43" s="1"/>
      <c r="E43" s="1"/>
      <c r="F43" s="1"/>
      <c r="G43" s="1" t="s">
        <v>23</v>
      </c>
      <c r="H43" s="25">
        <f>H9</f>
        <v>800</v>
      </c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</sheetData>
  <mergeCells count="19">
    <mergeCell ref="B4:I4"/>
    <mergeCell ref="B8:C8"/>
    <mergeCell ref="E8:F8"/>
    <mergeCell ref="H8:I8"/>
    <mergeCell ref="B13:C13"/>
    <mergeCell ref="E13:F13"/>
    <mergeCell ref="H13:I13"/>
    <mergeCell ref="B18:I18"/>
    <mergeCell ref="B22:F22"/>
    <mergeCell ref="G39:I39"/>
    <mergeCell ref="B37:I38"/>
    <mergeCell ref="B19:I20"/>
    <mergeCell ref="B9:C10"/>
    <mergeCell ref="H9:I10"/>
    <mergeCell ref="B14:C15"/>
    <mergeCell ref="H14:I15"/>
    <mergeCell ref="E14:F15"/>
    <mergeCell ref="B2:I3"/>
    <mergeCell ref="E9:F10"/>
  </mergeCells>
  <dataValidations count="1">
    <dataValidation type="whole" operator="between" sqref="I6">
      <formula1>2020</formula1>
      <formula2>2035</formula2>
    </dataValidation>
  </dataValidations>
  <hyperlinks>
    <hyperlink ref="B6" r:id="rId2" display="⌂ INÍCIO"/>
    <hyperlink ref="C6" r:id="rId3" display="＋ LANÇAMENTOS"/>
    <hyperlink ref="D6" r:id="rId4" display="⚙ TABELAS"/>
  </hyperlinks>
  <pageMargins left="0.75" right="0.75" top="1" bottom="1" header="0.5" footer="0.5"/>
  <pageSetup paperSize="1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Inicio</vt:lpstr>
      <vt:lpstr>Tabelas_Apoio</vt:lpstr>
      <vt:lpstr>Lancamentos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WPS_1777846768</cp:lastModifiedBy>
  <dcterms:created xsi:type="dcterms:W3CDTF">2026-10-08T19:18:00Z</dcterms:created>
  <dcterms:modified xsi:type="dcterms:W3CDTF">2026-10-08T20:26:39Z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6940167A218843D2A51F41A75FF864C3_12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