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porte_Tabelas" sheetId="1" state="visible" r:id="rId1"/>
    <sheet xmlns:r="http://schemas.openxmlformats.org/officeDocument/2006/relationships" name="Lancamentos" sheetId="2" state="visible" r:id="rId2"/>
    <sheet xmlns:r="http://schemas.openxmlformats.org/officeDocument/2006/relationships" name="Dashboard_Calcul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R$ #,##0.00"/>
  </numFmts>
  <fonts count="6">
    <font>
      <name val="Calibri"/>
      <family val="2"/>
      <color theme="1"/>
      <sz val="11"/>
      <scheme val="minor"/>
    </font>
    <font>
      <b val="1"/>
      <sz val="12"/>
    </font>
    <font>
      <b val="1"/>
    </font>
    <font>
      <b val="1"/>
      <color rgb="00FFFFFF"/>
    </font>
    <font>
      <b val="1"/>
      <color rgb="001F497D"/>
      <sz val="14"/>
    </font>
    <font/>
  </fonts>
  <fills count="3">
    <fill>
      <patternFill/>
    </fill>
    <fill>
      <patternFill patternType="gray125"/>
    </fill>
    <fill>
      <patternFill patternType="solid">
        <fgColor rgb="001F497D"/>
        <bgColor rgb="001F497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0" pivotButton="0" quotePrefix="0" xfId="0"/>
    <xf numFmtId="4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25" customWidth="1" min="3" max="3"/>
    <col width="25" customWidth="1" min="4" max="4"/>
    <col width="12" customWidth="1" min="5" max="5"/>
    <col width="20" customWidth="1" min="6" max="6"/>
  </cols>
  <sheetData>
    <row r="1">
      <c r="A1" s="1" t="inlineStr">
        <is>
          <t>Categorias Oficiais para Validação</t>
        </is>
      </c>
      <c r="C1" s="2" t="inlineStr">
        <is>
          <t>Base de Cálculo Mínima</t>
        </is>
      </c>
      <c r="D1" s="2" t="inlineStr">
        <is>
          <t>Base de Cálculo Máxima</t>
        </is>
      </c>
      <c r="E1" s="2" t="inlineStr">
        <is>
          <t>Alíquota</t>
        </is>
      </c>
      <c r="F1" s="2" t="inlineStr">
        <is>
          <t>Parcela a Deduzir</t>
        </is>
      </c>
    </row>
    <row r="2">
      <c r="A2" t="inlineStr">
        <is>
          <t>Rendimento de Trabalho Assalariado</t>
        </is>
      </c>
      <c r="C2" t="n">
        <v>0</v>
      </c>
      <c r="D2" t="n">
        <v>27110.4</v>
      </c>
      <c r="E2" s="3" t="n">
        <v>0</v>
      </c>
      <c r="F2" t="n">
        <v>0</v>
      </c>
    </row>
    <row r="3">
      <c r="A3" t="inlineStr">
        <is>
          <t>Aposentadorias e Pensões</t>
        </is>
      </c>
      <c r="C3" t="n">
        <v>27110.41</v>
      </c>
      <c r="D3" t="n">
        <v>33919.8</v>
      </c>
      <c r="E3" s="3" t="n">
        <v>0.075</v>
      </c>
      <c r="F3" t="n">
        <v>2033.28</v>
      </c>
    </row>
    <row r="4">
      <c r="A4" t="inlineStr">
        <is>
          <t>Aluguéis Recebidos</t>
        </is>
      </c>
      <c r="C4" t="n">
        <v>33919.81</v>
      </c>
      <c r="D4" t="n">
        <v>45012.6</v>
      </c>
      <c r="E4" s="3" t="n">
        <v>0.15</v>
      </c>
      <c r="F4" t="n">
        <v>4577.27</v>
      </c>
    </row>
    <row r="5">
      <c r="A5" t="inlineStr">
        <is>
          <t>Rendimentos de Poupança / LCI / LCA</t>
        </is>
      </c>
      <c r="C5" t="n">
        <v>45012.61</v>
      </c>
      <c r="D5" t="n">
        <v>55976.16</v>
      </c>
      <c r="E5" s="3" t="n">
        <v>0.225</v>
      </c>
      <c r="F5" t="n">
        <v>7953.21</v>
      </c>
    </row>
    <row r="6">
      <c r="A6" t="inlineStr">
        <is>
          <t>Dividendos e Lucros</t>
        </is>
      </c>
      <c r="C6" t="n">
        <v>55976.17</v>
      </c>
      <c r="D6" t="n">
        <v>9999999</v>
      </c>
      <c r="E6" s="3" t="n">
        <v>0.275</v>
      </c>
      <c r="F6" t="n">
        <v>10752.02</v>
      </c>
    </row>
    <row r="7">
      <c r="A7" t="inlineStr">
        <is>
          <t>Instrução / Educação</t>
        </is>
      </c>
    </row>
    <row r="8">
      <c r="A8" t="inlineStr">
        <is>
          <t>Despesas Médicas e Odontológicas</t>
        </is>
      </c>
    </row>
    <row r="9">
      <c r="A9" t="inlineStr">
        <is>
          <t>Previdência Privada (PGBL)</t>
        </is>
      </c>
    </row>
    <row r="10">
      <c r="A10" t="inlineStr">
        <is>
          <t>Pensão Alimentícia Judicial</t>
        </is>
      </c>
    </row>
    <row r="11">
      <c r="A11" t="inlineStr">
        <is>
          <t>Bens e Direitos (Imóveis/Veículos)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25" customWidth="1" min="2" max="2"/>
    <col width="37" customWidth="1" min="3" max="3"/>
    <col width="13" customWidth="1" min="4" max="4"/>
    <col width="21" customWidth="1" min="5" max="5"/>
  </cols>
  <sheetData>
    <row r="1">
      <c r="A1" s="4" t="inlineStr">
        <is>
          <t>Data</t>
        </is>
      </c>
      <c r="B1" s="4" t="inlineStr">
        <is>
          <t>Descrição</t>
        </is>
      </c>
      <c r="C1" s="4" t="inlineStr">
        <is>
          <t>Categoria</t>
        </is>
      </c>
      <c r="D1" s="4" t="inlineStr">
        <is>
          <t>Valor (R$)</t>
        </is>
      </c>
      <c r="E1" s="4" t="inlineStr">
        <is>
          <t>CNPJ/CPF Fonte</t>
        </is>
      </c>
    </row>
    <row r="2">
      <c r="A2" t="inlineStr">
        <is>
          <t>05/01/2026</t>
        </is>
      </c>
      <c r="B2" t="inlineStr">
        <is>
          <t>Salário Mensal</t>
        </is>
      </c>
      <c r="C2" t="inlineStr">
        <is>
          <t>Rendimento de Trabalho Assalariado</t>
        </is>
      </c>
      <c r="D2" s="5" t="n">
        <v>6500</v>
      </c>
      <c r="E2" t="inlineStr">
        <is>
          <t>12.345.678/0001-99</t>
        </is>
      </c>
    </row>
    <row r="3">
      <c r="A3" t="inlineStr">
        <is>
          <t>10/01/2026</t>
        </is>
      </c>
      <c r="B3" t="inlineStr">
        <is>
          <t>Mensalidade Faculdade</t>
        </is>
      </c>
      <c r="C3" t="inlineStr">
        <is>
          <t>Instrução / Educação</t>
        </is>
      </c>
      <c r="D3" s="5" t="n">
        <v>450</v>
      </c>
      <c r="E3" t="inlineStr">
        <is>
          <t>98.765.432/0001-10</t>
        </is>
      </c>
    </row>
    <row r="4">
      <c r="A4" t="inlineStr">
        <is>
          <t>15/01/2026</t>
        </is>
      </c>
      <c r="B4" t="inlineStr">
        <is>
          <t>Consulta Odontológica</t>
        </is>
      </c>
      <c r="C4" t="inlineStr">
        <is>
          <t>Despesas Médicas e Odontológicas</t>
        </is>
      </c>
      <c r="D4" s="5" t="n">
        <v>350</v>
      </c>
      <c r="E4" t="inlineStr">
        <is>
          <t>111.222.333-44</t>
        </is>
      </c>
    </row>
    <row r="5">
      <c r="A5" t="inlineStr">
        <is>
          <t>20/01/2026</t>
        </is>
      </c>
      <c r="B5" t="inlineStr">
        <is>
          <t>Distribuição de Lucros</t>
        </is>
      </c>
      <c r="C5" t="inlineStr">
        <is>
          <t>Dividendos e Lucros</t>
        </is>
      </c>
      <c r="D5" s="5" t="n">
        <v>1200</v>
      </c>
      <c r="E5" t="inlineStr">
        <is>
          <t>12.345.678/0001-99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1" workbookViewId="0">
      <selection activeCell="A1" sqref="A1"/>
    </sheetView>
  </sheetViews>
  <sheetFormatPr baseColWidth="8" defaultRowHeight="15"/>
  <cols>
    <col width="35" customWidth="1" min="1" max="1"/>
    <col width="290" customWidth="1" min="2" max="2"/>
  </cols>
  <sheetData>
    <row r="1">
      <c r="A1" s="6" t="inlineStr">
        <is>
          <t>RESUMO FISCAL AUTOMATIZADO</t>
        </is>
      </c>
    </row>
    <row r="2"/>
    <row r="3">
      <c r="A3" s="7" t="inlineStr">
        <is>
          <t>Total de Rendimentos Tributáveis</t>
        </is>
      </c>
      <c r="B3" s="8">
        <f>SUMIF(Lancamentos!C:C, "Rendimento de Trabalho Assalariado", Lancamentos!D:D) + SUMIF(Lancamentos!C:C, "Aposentadorias e Pensões", Lancamentos!D:D) + SUMIF(Lancamentos!C:C, "Aluguéis Recebidos", Lancamentos!D:D)</f>
        <v/>
      </c>
    </row>
    <row r="4">
      <c r="A4" s="7" t="inlineStr">
        <is>
          <t>Total de Rendimentos Isentos</t>
        </is>
      </c>
      <c r="B4" s="8">
        <f>SUMIF(Lancamentos!C:C, "Rendimentos de Poupança / LCI / LCA", Lancamentos!D:D) + SUMIF(Lancamentos!C:C, "Dividendos e Lucros", Lancamentos!D:D)</f>
        <v/>
      </c>
    </row>
    <row r="5">
      <c r="A5" s="7" t="inlineStr">
        <is>
          <t>Total de Deduções Permitidas</t>
        </is>
      </c>
      <c r="B5" s="8">
        <f>SUMIF(Lancamentos!C:C, "Instrução / Educação", Lancamentos!D:D) + SUMIF(Lancamentos!C:C, "Despesas Médicas e Odontológicas", Lancamentos!D:D) + SUMIF(Lancamentos!C:C, "Previdência Privada (PGBL)", Lancamentos!D:D) + SUMIF(Lancamentos!C:C, "Pensão Alimentícia Judicial", Lancamentos!D:D)</f>
        <v/>
      </c>
    </row>
    <row r="6">
      <c r="A6" s="2" t="inlineStr">
        <is>
          <t>Base de Cálculo do Imposto</t>
        </is>
      </c>
      <c r="B6" s="8">
        <f>MAX(0, B3-B5)</f>
        <v/>
      </c>
    </row>
    <row r="7">
      <c r="A7" s="7" t="inlineStr">
        <is>
          <t>Alíquota Efetiva Aplicada</t>
        </is>
      </c>
      <c r="B7" s="3">
        <f>VLOOKUP(B6, Suporte_Tabelas!C:F, 3, TRUE)</f>
        <v/>
      </c>
    </row>
    <row r="8">
      <c r="A8" s="2" t="inlineStr">
        <is>
          <t>Parcela a Deduzir do Imposto</t>
        </is>
      </c>
      <c r="B8" s="8">
        <f>VLOOKUP(B6, Suporte_Tabelas!C:F, 4, TRUE)</f>
        <v/>
      </c>
    </row>
    <row r="9">
      <c r="A9" s="2" t="inlineStr">
        <is>
          <t>Imposto de Renda Estimado Devido</t>
        </is>
      </c>
      <c r="B9" s="8">
        <f>IF(B7=0, 0, (B6*B7)-B8)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2026-10-08T19:18:50Z</dcterms:created>
  <dcterms:modified xmlns:dcterms="http://purl.org/dc/terms/" xmlns:xsi="http://www.w3.org/2001/XMLSchema-instance" xsi:type="dcterms:W3CDTF">2026-10-08T19:18:50Z</dcterms:modified>
</cp:coreProperties>
</file>